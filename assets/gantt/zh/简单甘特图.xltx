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14"/>
  <workbookPr filterPrivacy="1" codeName="ThisWorkbook"/>
  <xr:revisionPtr revIDLastSave="0" documentId="13_ncr:1_{16606C93-AB59-4953-8C2B-CCD481F0ACD6}" xr6:coauthVersionLast="47" xr6:coauthVersionMax="47" xr10:uidLastSave="{00000000-0000-0000-0000-000000000000}"/>
  <bookViews>
    <workbookView xWindow="-108" yWindow="-108" windowWidth="30840" windowHeight="15336" xr2:uid="{00000000-000D-0000-FFFF-FFFF00000000}"/>
  </bookViews>
  <sheets>
    <sheet name="项目日程安排" sheetId="11" r:id="rId1"/>
    <sheet name="关于" sheetId="12" r:id="rId2"/>
  </sheets>
  <definedNames>
    <definedName name="_xlnm.Print_Titles" localSheetId="0">项目日程安排!$4:$6</definedName>
    <definedName name="task_end" localSheetId="0">项目日程安排!$F1</definedName>
    <definedName name="task_progress" localSheetId="0">项目日程安排!$D1</definedName>
    <definedName name="task_start" localSheetId="0">项目日程安排!$E1</definedName>
    <definedName name="今天" localSheetId="0">TODAY()</definedName>
    <definedName name="显示周数">项目日程安排!$E$4</definedName>
    <definedName name="项目开始">项目日程安排!$E$3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I6" i="11" s="1"/>
  <c r="H33" i="11"/>
  <c r="H32" i="11"/>
  <c r="H31" i="11"/>
  <c r="H30" i="11"/>
  <c r="H29" i="11"/>
  <c r="H28" i="11"/>
  <c r="H26" i="11"/>
  <c r="H21" i="11"/>
  <c r="H20" i="11"/>
  <c r="H14" i="11"/>
  <c r="H8" i="11"/>
  <c r="H9" i="11" l="1"/>
  <c r="F23" i="11"/>
  <c r="E25" i="11"/>
  <c r="F10" i="11"/>
  <c r="E11" i="11" s="1"/>
  <c r="E13" i="11"/>
  <c r="E15" i="11" s="1"/>
  <c r="E16" i="11" s="1"/>
  <c r="H27" i="11" l="1"/>
  <c r="F25" i="11"/>
  <c r="H25" i="11" s="1"/>
  <c r="H10" i="11"/>
  <c r="E24" i="11"/>
  <c r="H23" i="11"/>
  <c r="F16" i="11"/>
  <c r="F15" i="11"/>
  <c r="H15" i="11" s="1"/>
  <c r="F13" i="11"/>
  <c r="H13" i="11" s="1"/>
  <c r="F11" i="11"/>
  <c r="E12" i="11" s="1"/>
  <c r="J5" i="11"/>
  <c r="J6" i="11" s="1"/>
  <c r="I4" i="11"/>
  <c r="K5" i="11" l="1"/>
  <c r="K6" i="11" s="1"/>
  <c r="F24" i="11"/>
  <c r="H24" i="11" s="1"/>
  <c r="H16" i="11"/>
  <c r="E17" i="11"/>
  <c r="E18" i="11" s="1"/>
  <c r="E19" i="11" s="1"/>
  <c r="H11" i="11"/>
  <c r="F12" i="11"/>
  <c r="H12" i="11" s="1"/>
  <c r="L5" i="11" l="1"/>
  <c r="L6" i="11" s="1"/>
  <c r="F19" i="11"/>
  <c r="H19" i="11" s="1"/>
  <c r="F18" i="11"/>
  <c r="H18" i="11" s="1"/>
  <c r="F17" i="11"/>
  <c r="H17" i="11" s="1"/>
  <c r="M5" i="11" l="1"/>
  <c r="M6" i="11" s="1"/>
  <c r="N5" i="11" l="1"/>
  <c r="N6" i="11" s="1"/>
  <c r="O5" i="11" l="1"/>
  <c r="O6" i="11" s="1"/>
  <c r="P5" i="11" l="1"/>
  <c r="P6" i="11" s="1"/>
  <c r="Q5" i="11" l="1"/>
  <c r="Q6" i="11" s="1"/>
  <c r="P4" i="11"/>
  <c r="R5" i="11" l="1"/>
  <c r="R6" i="11" s="1"/>
  <c r="S5" i="11" l="1"/>
  <c r="S6" i="11" s="1"/>
  <c r="T5" i="11" l="1"/>
  <c r="T6" i="11" s="1"/>
  <c r="U5" i="11" l="1"/>
  <c r="U6" i="11" s="1"/>
  <c r="V5" i="11" l="1"/>
  <c r="V6" i="11" s="1"/>
  <c r="W5" i="11" l="1"/>
  <c r="W6" i="11" s="1"/>
  <c r="W4" i="11" l="1"/>
  <c r="X5" i="11"/>
  <c r="X6" i="11" s="1"/>
  <c r="Y5" i="11" l="1"/>
  <c r="Y6" i="11" s="1"/>
  <c r="Z5" i="11" l="1"/>
  <c r="Z6" i="11" s="1"/>
  <c r="AA5" i="11" l="1"/>
  <c r="AA6" i="11" s="1"/>
  <c r="AB5" i="11" l="1"/>
  <c r="AB6" i="11" s="1"/>
  <c r="AC5" i="11" l="1"/>
  <c r="AC6" i="11" s="1"/>
  <c r="AD5" i="11" l="1"/>
  <c r="AD6" i="11" s="1"/>
  <c r="AD4" i="11" l="1"/>
  <c r="AE5" i="11"/>
  <c r="AE6" i="11" s="1"/>
  <c r="AF5" i="11" l="1"/>
  <c r="AF6" i="11" s="1"/>
  <c r="AG5" i="11" l="1"/>
  <c r="AG6" i="11" s="1"/>
  <c r="AH5" i="11" l="1"/>
  <c r="AH6" i="11" s="1"/>
  <c r="AI5" i="11" l="1"/>
  <c r="AI6" i="11" s="1"/>
  <c r="AJ5" i="11" l="1"/>
  <c r="AJ6" i="11" s="1"/>
  <c r="AK5" i="11" l="1"/>
  <c r="AK6" i="11" s="1"/>
  <c r="AL5" i="11" l="1"/>
  <c r="AL6" i="11" s="1"/>
  <c r="AK4" i="11"/>
  <c r="AM5" i="11" l="1"/>
  <c r="AM6" i="11" s="1"/>
  <c r="AN5" i="11" l="1"/>
  <c r="AN6" i="11" s="1"/>
  <c r="AO5" i="11" l="1"/>
  <c r="AO6" i="11" s="1"/>
  <c r="AP5" i="11" l="1"/>
  <c r="AP6" i="11" s="1"/>
  <c r="AQ5" i="11" l="1"/>
  <c r="AQ6" i="11" s="1"/>
  <c r="AR5" i="11" l="1"/>
  <c r="AR6" i="11" s="1"/>
  <c r="AS5" i="11" l="1"/>
  <c r="AS6" i="11" s="1"/>
  <c r="AR4" i="11"/>
  <c r="AT5" i="11" l="1"/>
  <c r="AT6" i="11" s="1"/>
  <c r="AU5" i="11" l="1"/>
  <c r="AU6" i="11" s="1"/>
  <c r="AV5" i="11" l="1"/>
  <c r="AV6" i="11" s="1"/>
  <c r="AW5" i="11" l="1"/>
  <c r="AW6" i="11" s="1"/>
  <c r="AX5" i="11" l="1"/>
  <c r="AX6" i="11" s="1"/>
  <c r="AY5" i="11" l="1"/>
  <c r="AY6" i="11" s="1"/>
  <c r="AY4" i="11" l="1"/>
  <c r="AZ5" i="11"/>
  <c r="AZ6" i="11" s="1"/>
  <c r="BA5" i="11" l="1"/>
  <c r="BA6" i="11" s="1"/>
  <c r="BB5" i="11" l="1"/>
  <c r="BB6" i="11" s="1"/>
  <c r="BC5" i="11" l="1"/>
  <c r="BC6" i="11" s="1"/>
  <c r="BD5" i="11" l="1"/>
  <c r="BD6" i="11" s="1"/>
  <c r="BE5" i="11" l="1"/>
  <c r="BE6" i="11" s="1"/>
  <c r="BF5" i="11" l="1"/>
  <c r="BF6" i="11" s="1"/>
  <c r="BG5" i="11" l="1"/>
  <c r="BG6" i="11" s="1"/>
  <c r="BF4" i="11"/>
  <c r="BH5" i="11" l="1"/>
  <c r="BH6" i="11" s="1"/>
  <c r="BI5" i="11" l="1"/>
  <c r="BI6" i="11" s="1"/>
  <c r="BJ5" i="11" l="1"/>
  <c r="BJ6" i="11" s="1"/>
  <c r="BK5" i="11" l="1"/>
  <c r="BK6" i="11" s="1"/>
  <c r="BL5" i="11" l="1"/>
  <c r="BL6" i="11" s="1"/>
</calcChain>
</file>

<file path=xl/sharedStrings.xml><?xml version="1.0" encoding="utf-8"?>
<sst xmlns="http://schemas.openxmlformats.org/spreadsheetml/2006/main" count="79" uniqueCount="52">
  <si>
    <t>在此工作表中创建项目日程安排。
在单元格 B1 中输入此项目的标题。
有关如何使用此工作表（包括屏幕阅读器的说明）以及此工作簿作者的信息包含在“关于”工作表中。
继续向下浏览 A 列，获取进一步指示。</t>
  </si>
  <si>
    <t>在单元格 B2 中输入公司名称。</t>
  </si>
  <si>
    <t>在单元格 B3 中输入项目主管的姓名。在单元格 E3 中输入项目开始日期。项目开始：标签位于单元格 C3 中。</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</si>
  <si>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</si>
  <si>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</si>
  <si>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</si>
  <si>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 xml:space="preserve">请勿删除此行。隐藏了此行，以保留用于突出显示项目日程安排中当天的公式。 </t>
  </si>
  <si>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</si>
  <si>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</si>
  <si>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</si>
  <si>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</si>
  <si>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示例阶段标题块</t>
  </si>
  <si>
    <t>这是一个空行</t>
  </si>
  <si>
    <t>此行标记项目日程安排的结尾。请勿在此行中输入任何内容。
在此行上方插入新行，以继续构建项目日程安排。</t>
  </si>
  <si>
    <t>项目标题</t>
  </si>
  <si>
    <t>公司名称</t>
  </si>
  <si>
    <t>项目主管</t>
  </si>
  <si>
    <t>任务</t>
  </si>
  <si>
    <t>阶段 1 标题</t>
  </si>
  <si>
    <t>任务 1</t>
  </si>
  <si>
    <t>任务 2</t>
  </si>
  <si>
    <t>任务 3</t>
  </si>
  <si>
    <t>任务 4</t>
  </si>
  <si>
    <t>任务 5</t>
  </si>
  <si>
    <t>阶段 2 标题</t>
  </si>
  <si>
    <t>阶段 3 标题</t>
  </si>
  <si>
    <t>阶段 4 标题</t>
  </si>
  <si>
    <t>在此行上方插入新行</t>
  </si>
  <si>
    <t>项目开始：</t>
  </si>
  <si>
    <t>显示周数：</t>
  </si>
  <si>
    <t>姓名</t>
  </si>
  <si>
    <t>进度</t>
  </si>
  <si>
    <t>开始日期</t>
  </si>
  <si>
    <t>日期</t>
  </si>
  <si>
    <t>结束日期</t>
  </si>
  <si>
    <t>天数</t>
  </si>
  <si>
    <t>Vertex42.com 提供的简单甘特图</t>
  </si>
  <si>
    <t>https://www.vertex42.com/ExcelTemplates/simple-gantt-chart.html</t>
  </si>
  <si>
    <t>关于此模板</t>
  </si>
  <si>
    <t>此模板提供了一种创建甘特图的简单方法，可帮助直观呈现和跟踪项目。只需输入任务以及开始和结束日期 - 无需公式。甘特图中的条形表示任务的持续时间，并且使用条件格式显示。通过插入新行插入新任务。</t>
  </si>
  <si>
    <t>屏幕阅读器指南</t>
  </si>
  <si>
    <t>此工作簿中有 2 个工作表。
考勤记录
关于
每个工作表的指示文本位于每个工作表中自单元格 A1 开始的 A 列中。这些指示都使用隐藏文本编写。每个步骤均提供相应指示，引导阅读者查看行中的相应信息。除非另有明确指示，否则会在单元格 A2、A3 等后续单元格中持续指示相应步骤。例如，指示文本可能显示为“转到单元格 A6”以执行下一步操作。
将不会打印此隐藏文本。
要从工作表删除这些指示，只需删除 A 列即可。</t>
  </si>
  <si>
    <t>更多帮助</t>
  </si>
  <si>
    <t>单击下面的链接以访问 vertex42.com 并了解有关如何使用此模板的更多信息，例如如何计算天数和工作天数、创建任务依赖关系、更改条形颜色、添加滚动条以更易于更改显示周数、延长图表中显示的日期范围等。</t>
  </si>
  <si>
    <t>如何使用简单甘特图</t>
  </si>
  <si>
    <t>更多项目管理模板</t>
  </si>
  <si>
    <t>请访问 Vertex42.com 下载其他项目管理模板，包括不同类型的项目日程安排、甘特图、任务列表等。</t>
  </si>
  <si>
    <t>项目管理模板</t>
  </si>
  <si>
    <t>了解 Vertex42</t>
  </si>
  <si>
    <t>Vertex42.com 为企业、家庭和教育提供超过 300 种专业设计的电子表格模板 - 其中大部分都可免费下载。这些集合包括各种日历、规划师和日程安排，以及用于预算、减免债务和分期偿还贷款的个人财务电子表格。</t>
  </si>
  <si>
    <t>企业可查找发票、时间表、库存跟踪表、财务报表和项目计划模板。教师和学生可查找诸如课程表、成绩簿和出勤表等资源。还可通过用餐规划师、清单和锻炼日志来组织家庭生活。通过来自数千名用户的反馈，每个模板都经过了深入的研究、完善和改进。</t>
  </si>
  <si>
    <t>分配到</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</si>
</sst>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d/yy;@"/>
    <numFmt numFmtId="179" formatCode="[DBNum1][$-804]yyyy&quot;年&quot;m&quot;月&quot;;@"/>
    <numFmt numFmtId="180" formatCode="yyyy/m/d\,\ aaaa"/>
    <numFmt numFmtId="181" formatCode="d"/>
  </numFmts>
  <fonts count="38" x14ac:knownFonts="1">
    <font>
      <sz val="11"/>
      <color theme="1"/>
      <name val="Microsoft YaHei UI"/>
      <family val="2"/>
    </font>
    <font>
      <sz val="10"/>
      <name val="宋体"/>
      <family val="2"/>
      <scheme val="minor"/>
    </font>
    <font>
      <b/>
      <sz val="10"/>
      <name val="宋体"/>
      <family val="2"/>
      <scheme val="minor"/>
    </font>
    <font>
      <sz val="20"/>
      <name val="宋体"/>
      <family val="2"/>
      <scheme val="major"/>
    </font>
    <font>
      <sz val="11"/>
      <color theme="1"/>
      <name val="Microsoft YaHei UI"/>
      <family val="2"/>
    </font>
    <font>
      <sz val="11"/>
      <color theme="0"/>
      <name val="Microsoft YaHei UI"/>
      <family val="2"/>
    </font>
    <font>
      <sz val="11"/>
      <color rgb="FF9C0006"/>
      <name val="Microsoft YaHei UI"/>
      <family val="2"/>
    </font>
    <font>
      <b/>
      <sz val="11"/>
      <color rgb="FFFA7D00"/>
      <name val="Microsoft YaHei UI"/>
      <family val="2"/>
    </font>
    <font>
      <b/>
      <sz val="11"/>
      <color theme="0"/>
      <name val="Microsoft YaHei UI"/>
      <family val="2"/>
    </font>
    <font>
      <i/>
      <sz val="11"/>
      <color rgb="FF7F7F7F"/>
      <name val="Microsoft YaHei UI"/>
      <family val="2"/>
    </font>
    <font>
      <u/>
      <sz val="11"/>
      <color theme="11"/>
      <name val="Microsoft YaHei UI"/>
      <family val="2"/>
    </font>
    <font>
      <sz val="11"/>
      <color rgb="FF006100"/>
      <name val="Microsoft YaHei UI"/>
      <family val="2"/>
    </font>
    <font>
      <sz val="14"/>
      <color theme="1"/>
      <name val="Microsoft YaHei UI"/>
      <family val="2"/>
    </font>
    <font>
      <b/>
      <sz val="11"/>
      <color theme="3"/>
      <name val="Microsoft YaHei UI"/>
      <family val="2"/>
    </font>
    <font>
      <u/>
      <sz val="11"/>
      <color indexed="12"/>
      <name val="Microsoft YaHei UI"/>
      <family val="2"/>
    </font>
    <font>
      <sz val="11"/>
      <color rgb="FF3F3F76"/>
      <name val="Microsoft YaHei UI"/>
      <family val="2"/>
    </font>
    <font>
      <sz val="11"/>
      <color rgb="FFFA7D00"/>
      <name val="Microsoft YaHei UI"/>
      <family val="2"/>
    </font>
    <font>
      <sz val="11"/>
      <color rgb="FF9C5700"/>
      <name val="Microsoft YaHei UI"/>
      <family val="2"/>
    </font>
    <font>
      <b/>
      <sz val="11"/>
      <color rgb="FF3F3F3F"/>
      <name val="Microsoft YaHei UI"/>
      <family val="2"/>
    </font>
    <font>
      <b/>
      <sz val="22"/>
      <color theme="1" tint="0.34998626667073579"/>
      <name val="Microsoft YaHei UI"/>
      <family val="2"/>
    </font>
    <font>
      <b/>
      <sz val="11"/>
      <color theme="1"/>
      <name val="Microsoft YaHei UI"/>
      <family val="2"/>
    </font>
    <font>
      <sz val="11"/>
      <color rgb="FFFF0000"/>
      <name val="Microsoft YaHei UI"/>
      <family val="2"/>
    </font>
    <font>
      <b/>
      <sz val="20"/>
      <color theme="4" tint="-0.249977111117893"/>
      <name val="Microsoft YaHei UI"/>
      <family val="2"/>
    </font>
    <font>
      <sz val="10"/>
      <name val="Microsoft YaHei UI"/>
      <family val="2"/>
    </font>
    <font>
      <b/>
      <sz val="11"/>
      <name val="Microsoft YaHei UI"/>
      <family val="2"/>
    </font>
    <font>
      <sz val="9"/>
      <name val="Microsoft YaHei UI"/>
      <family val="2"/>
    </font>
    <font>
      <b/>
      <sz val="9"/>
      <color theme="0"/>
      <name val="Microsoft YaHei UI"/>
      <family val="2"/>
    </font>
    <font>
      <sz val="8"/>
      <color theme="0"/>
      <name val="Microsoft YaHei UI"/>
      <family val="2"/>
    </font>
    <font>
      <sz val="11"/>
      <name val="Microsoft YaHei UI"/>
      <family val="2"/>
    </font>
    <font>
      <i/>
      <sz val="9"/>
      <color theme="1"/>
      <name val="Microsoft YaHei UI"/>
      <family val="2"/>
    </font>
    <font>
      <sz val="10"/>
      <color theme="1" tint="0.499984740745262"/>
      <name val="Microsoft YaHei UI"/>
      <family val="2"/>
    </font>
    <font>
      <b/>
      <sz val="11"/>
      <color theme="1" tint="0.499984740745262"/>
      <name val="Microsoft YaHei UI"/>
      <family val="2"/>
    </font>
    <font>
      <b/>
      <sz val="12"/>
      <color theme="1" tint="0.34998626667073579"/>
      <name val="Microsoft YaHei UI"/>
      <family val="2"/>
    </font>
    <font>
      <sz val="11"/>
      <color theme="1" tint="0.499984740745262"/>
      <name val="Microsoft YaHei UI"/>
      <family val="2"/>
    </font>
    <font>
      <b/>
      <sz val="16"/>
      <color theme="4" tint="-0.249977111117893"/>
      <name val="Microsoft YaHei UI"/>
      <family val="2"/>
    </font>
    <font>
      <sz val="20"/>
      <name val="Microsoft YaHei UI"/>
      <family val="2"/>
    </font>
    <font>
      <sz val="11"/>
      <color rgb="FF1D2129"/>
      <name val="Microsoft YaHei UI"/>
      <family val="2"/>
    </font>
    <font>
      <sz val="9"/>
      <name val="宋体"/>
      <family val="3"/>
      <charset val="134"/>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14" fillId="0" borderId="0" applyNumberFormat="0" applyFill="0" applyBorder="0" applyAlignment="0" applyProtection="0">
      <alignment vertical="top"/>
      <protection locked="0"/>
    </xf>
    <xf numFmtId="9" fontId="4" fillId="0" borderId="0" applyFont="0" applyFill="0" applyBorder="0" applyAlignment="0" applyProtection="0"/>
    <xf numFmtId="0" fontId="5" fillId="0" borderId="0"/>
    <xf numFmtId="177" fontId="4" fillId="0" borderId="3" applyFont="0" applyFill="0" applyAlignment="0" applyProtection="0"/>
    <xf numFmtId="0" fontId="19" fillId="0" borderId="0" applyNumberFormat="0" applyFill="0" applyBorder="0" applyAlignment="0" applyProtection="0"/>
    <xf numFmtId="0" fontId="12" fillId="0" borderId="0" applyNumberFormat="0" applyFill="0" applyAlignment="0" applyProtection="0"/>
    <xf numFmtId="0" fontId="12" fillId="0" borderId="0" applyNumberFormat="0" applyFill="0" applyProtection="0">
      <alignment vertical="top"/>
    </xf>
    <xf numFmtId="0" fontId="4" fillId="0" borderId="0" applyNumberFormat="0" applyFill="0" applyProtection="0">
      <alignment horizontal="right" indent="1"/>
    </xf>
    <xf numFmtId="180" fontId="4" fillId="0" borderId="3">
      <alignment horizontal="center" vertical="center"/>
    </xf>
    <xf numFmtId="178" fontId="4" fillId="0" borderId="2" applyFill="0">
      <alignment horizontal="center" vertical="center"/>
    </xf>
    <xf numFmtId="0" fontId="4" fillId="0" borderId="2" applyFill="0">
      <alignment horizontal="center" vertical="center"/>
    </xf>
    <xf numFmtId="0" fontId="4" fillId="0" borderId="2" applyFill="0">
      <alignment horizontal="left" vertical="center" indent="2"/>
    </xf>
    <xf numFmtId="0" fontId="10" fillId="0" borderId="0" applyNumberFormat="0" applyFill="0" applyBorder="0" applyAlignment="0" applyProtection="0"/>
    <xf numFmtId="176" fontId="4" fillId="0" borderId="0" applyFont="0" applyFill="0" applyBorder="0" applyAlignment="0" applyProtection="0"/>
    <xf numFmtId="44" fontId="4" fillId="0" borderId="0" applyFont="0" applyFill="0" applyBorder="0" applyAlignment="0" applyProtection="0"/>
    <xf numFmtId="42" fontId="4" fillId="0" borderId="0" applyFont="0" applyFill="0" applyBorder="0" applyAlignment="0" applyProtection="0"/>
    <xf numFmtId="0" fontId="13" fillId="0" borderId="0" applyNumberFormat="0" applyFill="0" applyBorder="0" applyAlignment="0" applyProtection="0"/>
    <xf numFmtId="0" fontId="11" fillId="14" borderId="0" applyNumberFormat="0" applyBorder="0" applyAlignment="0" applyProtection="0"/>
    <xf numFmtId="0" fontId="6" fillId="15" borderId="0" applyNumberFormat="0" applyBorder="0" applyAlignment="0" applyProtection="0"/>
    <xf numFmtId="0" fontId="17" fillId="16" borderId="0" applyNumberFormat="0" applyBorder="0" applyAlignment="0" applyProtection="0"/>
    <xf numFmtId="0" fontId="15" fillId="17" borderId="11" applyNumberFormat="0" applyAlignment="0" applyProtection="0"/>
    <xf numFmtId="0" fontId="18" fillId="18" borderId="12" applyNumberFormat="0" applyAlignment="0" applyProtection="0"/>
    <xf numFmtId="0" fontId="7" fillId="18" borderId="11" applyNumberFormat="0" applyAlignment="0" applyProtection="0"/>
    <xf numFmtId="0" fontId="16" fillId="0" borderId="13" applyNumberFormat="0" applyFill="0" applyAlignment="0" applyProtection="0"/>
    <xf numFmtId="0" fontId="8" fillId="19" borderId="14" applyNumberFormat="0" applyAlignment="0" applyProtection="0"/>
    <xf numFmtId="0" fontId="21" fillId="0" borderId="0" applyNumberFormat="0" applyFill="0" applyBorder="0" applyAlignment="0" applyProtection="0"/>
    <xf numFmtId="0" fontId="4" fillId="20" borderId="15" applyNumberFormat="0" applyFont="0" applyAlignment="0" applyProtection="0"/>
    <xf numFmtId="0" fontId="9" fillId="0" borderId="0" applyNumberFormat="0" applyFill="0" applyBorder="0" applyAlignment="0" applyProtection="0"/>
    <xf numFmtId="0" fontId="20" fillId="0" borderId="16" applyNumberFormat="0" applyFill="0" applyAlignment="0" applyProtection="0"/>
    <xf numFmtId="0" fontId="5"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5"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5"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5"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5"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cellStyleXfs>
  <cellXfs count="97">
    <xf numFmtId="0" fontId="0" fillId="0" borderId="0" xfId="0"/>
    <xf numFmtId="0" fontId="1" fillId="0" borderId="0" xfId="0" applyFont="1"/>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1" fillId="0" borderId="0" xfId="0" applyFont="1" applyAlignment="1">
      <alignment vertical="top"/>
    </xf>
    <xf numFmtId="0" fontId="2" fillId="0" borderId="0" xfId="0" applyFont="1" applyAlignment="1">
      <alignment horizontal="left" vertical="center"/>
    </xf>
    <xf numFmtId="0" fontId="3" fillId="0" borderId="0" xfId="0" applyFont="1"/>
    <xf numFmtId="0" fontId="1" fillId="0" borderId="0" xfId="0" applyFont="1" applyAlignment="1">
      <alignment horizontal="left" vertical="top"/>
    </xf>
    <xf numFmtId="0" fontId="14" fillId="0" borderId="0" xfId="1" applyAlignment="1" applyProtection="1">
      <alignment horizontal="left" vertical="top"/>
    </xf>
    <xf numFmtId="0" fontId="0" fillId="0" borderId="0" xfId="0" applyAlignment="1">
      <alignment vertical="top" wrapText="1"/>
    </xf>
    <xf numFmtId="0" fontId="5" fillId="0" borderId="0" xfId="3"/>
    <xf numFmtId="0" fontId="5" fillId="0" borderId="0" xfId="3" applyAlignment="1">
      <alignment wrapText="1"/>
    </xf>
    <xf numFmtId="0" fontId="0" fillId="0" borderId="0" xfId="0" applyAlignment="1">
      <alignment wrapText="1"/>
    </xf>
    <xf numFmtId="0" fontId="19" fillId="0" borderId="0" xfId="5" applyAlignment="1">
      <alignment horizontal="left"/>
    </xf>
    <xf numFmtId="0" fontId="12" fillId="0" borderId="0" xfId="6"/>
    <xf numFmtId="0" fontId="12" fillId="0" borderId="0" xfId="7">
      <alignment vertical="top"/>
    </xf>
    <xf numFmtId="0" fontId="4" fillId="8" borderId="2" xfId="11" applyFill="1">
      <alignment horizontal="center" vertical="center"/>
    </xf>
    <xf numFmtId="0" fontId="4" fillId="3" borderId="2" xfId="11" applyFill="1">
      <alignment horizontal="center" vertical="center"/>
    </xf>
    <xf numFmtId="0" fontId="4" fillId="9" borderId="2" xfId="11" applyFill="1">
      <alignment horizontal="center" vertical="center"/>
    </xf>
    <xf numFmtId="0" fontId="4" fillId="4" borderId="2" xfId="11" applyFill="1">
      <alignment horizontal="center" vertical="center"/>
    </xf>
    <xf numFmtId="0" fontId="4" fillId="6" borderId="2" xfId="11" applyFill="1">
      <alignment horizontal="center" vertical="center"/>
    </xf>
    <xf numFmtId="0" fontId="4" fillId="11" borderId="2" xfId="11" applyFill="1">
      <alignment horizontal="center" vertical="center"/>
    </xf>
    <xf numFmtId="0" fontId="4" fillId="5" borderId="2" xfId="11" applyFill="1">
      <alignment horizontal="center" vertical="center"/>
    </xf>
    <xf numFmtId="0" fontId="4" fillId="10" borderId="2" xfId="11" applyFill="1">
      <alignment horizontal="center" vertical="center"/>
    </xf>
    <xf numFmtId="0" fontId="4" fillId="0" borderId="2" xfId="11">
      <alignment horizontal="center" vertical="center"/>
    </xf>
    <xf numFmtId="0" fontId="4" fillId="3" borderId="2" xfId="12" applyFill="1">
      <alignment horizontal="left" vertical="center" indent="2"/>
    </xf>
    <xf numFmtId="0" fontId="4" fillId="4" borderId="2" xfId="12" applyFill="1">
      <alignment horizontal="left" vertical="center" indent="2"/>
    </xf>
    <xf numFmtId="0" fontId="4" fillId="11" borderId="2" xfId="12" applyFill="1">
      <alignment horizontal="left" vertical="center" indent="2"/>
    </xf>
    <xf numFmtId="0" fontId="4" fillId="10" borderId="2" xfId="12" applyFill="1">
      <alignment horizontal="left" vertical="center" indent="2"/>
    </xf>
    <xf numFmtId="0" fontId="4" fillId="0" borderId="2" xfId="12">
      <alignment horizontal="left" vertical="center" indent="2"/>
    </xf>
    <xf numFmtId="0" fontId="0" fillId="0" borderId="10" xfId="0" applyBorder="1"/>
    <xf numFmtId="0" fontId="22" fillId="0" borderId="0" xfId="0" applyFont="1" applyAlignment="1">
      <alignment horizontal="left"/>
    </xf>
    <xf numFmtId="0" fontId="23" fillId="0" borderId="0" xfId="0" applyFont="1"/>
    <xf numFmtId="0" fontId="23" fillId="0" borderId="0" xfId="0" applyFont="1" applyAlignment="1">
      <alignment horizontal="center"/>
    </xf>
    <xf numFmtId="0" fontId="23" fillId="0" borderId="0" xfId="0" applyFont="1" applyAlignment="1">
      <alignment horizontal="center" vertical="center"/>
    </xf>
    <xf numFmtId="0" fontId="24" fillId="0" borderId="0" xfId="0" applyFont="1"/>
    <xf numFmtId="0" fontId="23" fillId="0" borderId="0" xfId="1" applyFont="1" applyProtection="1">
      <alignment vertical="top"/>
    </xf>
    <xf numFmtId="0" fontId="26" fillId="13" borderId="1" xfId="0" applyFont="1" applyFill="1" applyBorder="1" applyAlignment="1">
      <alignment horizontal="left" vertical="center" indent="1"/>
    </xf>
    <xf numFmtId="0" fontId="26" fillId="13" borderId="1" xfId="0" applyFont="1" applyFill="1" applyBorder="1" applyAlignment="1">
      <alignment horizontal="center" vertical="center" wrapText="1"/>
    </xf>
    <xf numFmtId="0" fontId="27" fillId="12" borderId="8" xfId="0" applyFont="1" applyFill="1" applyBorder="1" applyAlignment="1">
      <alignment horizontal="center" vertical="center" shrinkToFit="1"/>
    </xf>
    <xf numFmtId="0" fontId="20" fillId="8" borderId="2" xfId="0" applyFont="1" applyFill="1" applyBorder="1" applyAlignment="1">
      <alignment horizontal="left" vertical="center" indent="1"/>
    </xf>
    <xf numFmtId="9" fontId="28" fillId="8" borderId="2" xfId="2" applyFont="1" applyFill="1" applyBorder="1" applyAlignment="1">
      <alignment horizontal="center" vertical="center"/>
    </xf>
    <xf numFmtId="0" fontId="28" fillId="0" borderId="2" xfId="0" applyFont="1" applyBorder="1" applyAlignment="1">
      <alignment horizontal="center" vertical="center"/>
    </xf>
    <xf numFmtId="9" fontId="28" fillId="3" borderId="2" xfId="2" applyFont="1" applyFill="1" applyBorder="1" applyAlignment="1">
      <alignment horizontal="center" vertical="center"/>
    </xf>
    <xf numFmtId="0" fontId="20" fillId="9" borderId="2" xfId="0" applyFont="1" applyFill="1" applyBorder="1" applyAlignment="1">
      <alignment horizontal="left" vertical="center" indent="1"/>
    </xf>
    <xf numFmtId="9" fontId="28" fillId="9" borderId="2" xfId="2" applyFont="1" applyFill="1" applyBorder="1" applyAlignment="1">
      <alignment horizontal="center" vertical="center"/>
    </xf>
    <xf numFmtId="9" fontId="28" fillId="4" borderId="2" xfId="2" applyFont="1" applyFill="1" applyBorder="1" applyAlignment="1">
      <alignment horizontal="center" vertical="center"/>
    </xf>
    <xf numFmtId="0" fontId="20" fillId="6" borderId="2" xfId="0" applyFont="1" applyFill="1" applyBorder="1" applyAlignment="1">
      <alignment horizontal="left" vertical="center" indent="1"/>
    </xf>
    <xf numFmtId="9" fontId="28" fillId="6" borderId="2" xfId="2" applyFont="1" applyFill="1" applyBorder="1" applyAlignment="1">
      <alignment horizontal="center" vertical="center"/>
    </xf>
    <xf numFmtId="9" fontId="28" fillId="11" borderId="2" xfId="2" applyFont="1" applyFill="1" applyBorder="1" applyAlignment="1">
      <alignment horizontal="center" vertical="center"/>
    </xf>
    <xf numFmtId="0" fontId="20" fillId="5" borderId="2" xfId="0" applyFont="1" applyFill="1" applyBorder="1" applyAlignment="1">
      <alignment horizontal="left" vertical="center" indent="1"/>
    </xf>
    <xf numFmtId="9" fontId="28" fillId="5" borderId="2" xfId="2" applyFont="1" applyFill="1" applyBorder="1" applyAlignment="1">
      <alignment horizontal="center" vertical="center"/>
    </xf>
    <xf numFmtId="9" fontId="28" fillId="10" borderId="2" xfId="2" applyFont="1" applyFill="1" applyBorder="1" applyAlignment="1">
      <alignment horizontal="center" vertical="center"/>
    </xf>
    <xf numFmtId="9" fontId="28" fillId="0" borderId="2" xfId="2" applyFont="1" applyBorder="1" applyAlignment="1">
      <alignment horizontal="center" vertical="center"/>
    </xf>
    <xf numFmtId="179" fontId="4" fillId="0" borderId="2" xfId="10" applyNumberFormat="1">
      <alignment horizontal="center" vertical="center"/>
    </xf>
    <xf numFmtId="0" fontId="29" fillId="2" borderId="2" xfId="0" applyFont="1" applyFill="1" applyBorder="1" applyAlignment="1">
      <alignment horizontal="left" vertical="center" indent="1"/>
    </xf>
    <xf numFmtId="0" fontId="29" fillId="2" borderId="2" xfId="0" applyFont="1" applyFill="1" applyBorder="1" applyAlignment="1">
      <alignment horizontal="center" vertical="center"/>
    </xf>
    <xf numFmtId="9" fontId="28" fillId="2" borderId="2" xfId="2" applyFont="1" applyFill="1" applyBorder="1" applyAlignment="1">
      <alignment horizontal="center" vertical="center"/>
    </xf>
    <xf numFmtId="179" fontId="30" fillId="2" borderId="2" xfId="0" applyNumberFormat="1" applyFont="1" applyFill="1" applyBorder="1" applyAlignment="1">
      <alignment horizontal="left" vertical="center"/>
    </xf>
    <xf numFmtId="179" fontId="28" fillId="2" borderId="2" xfId="0" applyNumberFormat="1" applyFont="1" applyFill="1" applyBorder="1" applyAlignment="1">
      <alignment horizontal="center" vertical="center"/>
    </xf>
    <xf numFmtId="0" fontId="28" fillId="2" borderId="2" xfId="0" applyFont="1" applyFill="1" applyBorder="1" applyAlignment="1">
      <alignment horizontal="center" vertical="center"/>
    </xf>
    <xf numFmtId="0" fontId="31" fillId="0" borderId="0" xfId="0" applyFont="1"/>
    <xf numFmtId="0" fontId="5" fillId="0" borderId="0" xfId="0" applyFont="1" applyAlignment="1">
      <alignment horizontal="center"/>
    </xf>
    <xf numFmtId="0" fontId="30" fillId="0" borderId="0" xfId="1" applyFont="1" applyAlignment="1" applyProtection="1"/>
    <xf numFmtId="0" fontId="23" fillId="0" borderId="0" xfId="0" applyFont="1" applyAlignment="1">
      <alignment vertical="top"/>
    </xf>
    <xf numFmtId="0" fontId="32" fillId="0" borderId="0" xfId="0" applyFont="1" applyAlignment="1">
      <alignment horizontal="left" vertical="center"/>
    </xf>
    <xf numFmtId="0" fontId="28" fillId="0" borderId="0" xfId="0" applyFont="1" applyAlignment="1">
      <alignment vertical="top"/>
    </xf>
    <xf numFmtId="0" fontId="33" fillId="0" borderId="0" xfId="0" applyFont="1" applyAlignment="1">
      <alignment vertical="top"/>
    </xf>
    <xf numFmtId="0" fontId="34" fillId="0" borderId="0" xfId="0" applyFont="1" applyAlignment="1">
      <alignment vertical="center"/>
    </xf>
    <xf numFmtId="0" fontId="35" fillId="0" borderId="0" xfId="0" applyFont="1"/>
    <xf numFmtId="0" fontId="36" fillId="0" borderId="0" xfId="0" applyFont="1" applyAlignment="1">
      <alignment horizontal="left" vertical="top" wrapText="1" indent="1"/>
    </xf>
    <xf numFmtId="181" fontId="25" fillId="7" borderId="6" xfId="0" applyNumberFormat="1" applyFont="1" applyFill="1" applyBorder="1" applyAlignment="1">
      <alignment horizontal="center" vertical="center"/>
    </xf>
    <xf numFmtId="181" fontId="25" fillId="7" borderId="0" xfId="0" applyNumberFormat="1" applyFont="1" applyFill="1" applyAlignment="1">
      <alignment horizontal="center" vertical="center"/>
    </xf>
    <xf numFmtId="181" fontId="25" fillId="7" borderId="7" xfId="0" applyNumberFormat="1" applyFont="1" applyFill="1" applyBorder="1" applyAlignment="1">
      <alignment horizontal="center" vertical="center"/>
    </xf>
    <xf numFmtId="178" fontId="0" fillId="8" borderId="2" xfId="0" applyNumberFormat="1" applyFill="1" applyBorder="1" applyAlignment="1">
      <alignment horizontal="center" vertical="center"/>
    </xf>
    <xf numFmtId="178" fontId="28" fillId="8" borderId="2" xfId="0" applyNumberFormat="1" applyFont="1" applyFill="1" applyBorder="1" applyAlignment="1">
      <alignment horizontal="center" vertical="center"/>
    </xf>
    <xf numFmtId="178" fontId="4" fillId="3" borderId="2" xfId="10" applyFill="1">
      <alignment horizontal="center" vertical="center"/>
    </xf>
    <xf numFmtId="178" fontId="0" fillId="9" borderId="2" xfId="0" applyNumberFormat="1" applyFill="1" applyBorder="1" applyAlignment="1">
      <alignment horizontal="center" vertical="center"/>
    </xf>
    <xf numFmtId="178" fontId="28" fillId="9" borderId="2" xfId="0" applyNumberFormat="1" applyFont="1" applyFill="1" applyBorder="1" applyAlignment="1">
      <alignment horizontal="center" vertical="center"/>
    </xf>
    <xf numFmtId="178" fontId="4" fillId="4" borderId="2" xfId="10" applyFill="1">
      <alignment horizontal="center" vertical="center"/>
    </xf>
    <xf numFmtId="178" fontId="0" fillId="6" borderId="2" xfId="0" applyNumberFormat="1" applyFill="1" applyBorder="1" applyAlignment="1">
      <alignment horizontal="center" vertical="center"/>
    </xf>
    <xf numFmtId="178" fontId="28" fillId="6" borderId="2" xfId="0" applyNumberFormat="1" applyFont="1" applyFill="1" applyBorder="1" applyAlignment="1">
      <alignment horizontal="center" vertical="center"/>
    </xf>
    <xf numFmtId="178" fontId="4" fillId="11" borderId="2" xfId="10" applyFill="1">
      <alignment horizontal="center" vertical="center"/>
    </xf>
    <xf numFmtId="178" fontId="0" fillId="5" borderId="2" xfId="0" applyNumberFormat="1" applyFill="1" applyBorder="1" applyAlignment="1">
      <alignment horizontal="center" vertical="center"/>
    </xf>
    <xf numFmtId="178" fontId="28" fillId="5" borderId="2" xfId="0" applyNumberFormat="1" applyFont="1" applyFill="1" applyBorder="1" applyAlignment="1">
      <alignment horizontal="center" vertical="center"/>
    </xf>
    <xf numFmtId="178" fontId="4" fillId="10" borderId="2" xfId="10" applyFill="1">
      <alignment horizontal="center" vertical="center"/>
    </xf>
    <xf numFmtId="0" fontId="4" fillId="0" borderId="0" xfId="8">
      <alignment horizontal="right" indent="1"/>
    </xf>
    <xf numFmtId="0" fontId="4" fillId="0" borderId="7" xfId="8" applyBorder="1">
      <alignment horizontal="right" indent="1"/>
    </xf>
    <xf numFmtId="31" fontId="0" fillId="7" borderId="4" xfId="0" applyNumberFormat="1" applyFill="1" applyBorder="1" applyAlignment="1">
      <alignment horizontal="left" vertical="center" wrapText="1" indent="1"/>
    </xf>
    <xf numFmtId="31" fontId="0" fillId="7" borderId="1" xfId="0" applyNumberFormat="1" applyFill="1" applyBorder="1" applyAlignment="1">
      <alignment horizontal="left" vertical="center" wrapText="1" indent="1"/>
    </xf>
    <xf numFmtId="31" fontId="0" fillId="7" borderId="5" xfId="0" applyNumberFormat="1" applyFill="1" applyBorder="1" applyAlignment="1">
      <alignment horizontal="left" vertical="center" wrapText="1" indent="1"/>
    </xf>
    <xf numFmtId="180" fontId="4" fillId="0" borderId="3" xfId="9">
      <alignment horizontal="center" vertical="center"/>
    </xf>
  </cellXfs>
  <cellStyles count="54">
    <cellStyle name="20% - 着色 1" xfId="31" builtinId="30" customBuiltin="1"/>
    <cellStyle name="20% - 着色 2" xfId="35" builtinId="34" customBuiltin="1"/>
    <cellStyle name="20% - 着色 3" xfId="39" builtinId="38" customBuiltin="1"/>
    <cellStyle name="20% - 着色 4" xfId="43" builtinId="42" customBuiltin="1"/>
    <cellStyle name="20% - 着色 5" xfId="47" builtinId="46" customBuiltin="1"/>
    <cellStyle name="20% - 着色 6" xfId="51" builtinId="50" customBuiltin="1"/>
    <cellStyle name="40% - 着色 1" xfId="32" builtinId="31" customBuiltin="1"/>
    <cellStyle name="40% - 着色 2" xfId="36" builtinId="35" customBuiltin="1"/>
    <cellStyle name="40% - 着色 3" xfId="40" builtinId="39" customBuiltin="1"/>
    <cellStyle name="40% - 着色 4" xfId="44" builtinId="43" customBuiltin="1"/>
    <cellStyle name="40% - 着色 5" xfId="48" builtinId="47" customBuiltin="1"/>
    <cellStyle name="40% - 着色 6" xfId="52" builtinId="51" customBuiltin="1"/>
    <cellStyle name="60% - 着色 1" xfId="33" builtinId="32" customBuiltin="1"/>
    <cellStyle name="60% - 着色 2" xfId="37" builtinId="36" customBuiltin="1"/>
    <cellStyle name="60% - 着色 3" xfId="41" builtinId="40" customBuiltin="1"/>
    <cellStyle name="60% - 着色 4" xfId="45" builtinId="44" customBuiltin="1"/>
    <cellStyle name="60% - 着色 5" xfId="49" builtinId="48" customBuiltin="1"/>
    <cellStyle name="60% - 着色 6" xfId="53" builtinId="52" customBuiltin="1"/>
    <cellStyle name="z隐藏文本" xfId="3" xr:uid="{26E66EE6-E33F-4D77-BAE4-0FB4F5BBF673}"/>
    <cellStyle name="百分比" xfId="2" builtinId="5" customBuiltin="1"/>
    <cellStyle name="标题" xfId="5" builtinId="15" customBuiltin="1"/>
    <cellStyle name="标题 1" xfId="6" builtinId="16" customBuiltin="1"/>
    <cellStyle name="标题 2" xfId="7" builtinId="17" customBuiltin="1"/>
    <cellStyle name="标题 3" xfId="8" builtinId="18" customBuiltin="1"/>
    <cellStyle name="标题 4" xfId="17" builtinId="19" customBuiltin="1"/>
    <cellStyle name="差" xfId="19" builtinId="27" customBuiltin="1"/>
    <cellStyle name="常规" xfId="0" builtinId="0" customBuiltin="1"/>
    <cellStyle name="超链接" xfId="1" builtinId="8" customBuiltin="1"/>
    <cellStyle name="好" xfId="18" builtinId="26" customBuiltin="1"/>
    <cellStyle name="汇总" xfId="29" builtinId="25" customBuiltin="1"/>
    <cellStyle name="货币" xfId="15" builtinId="4" customBuiltin="1"/>
    <cellStyle name="货币[0]" xfId="16" builtinId="7" customBuiltin="1"/>
    <cellStyle name="计算" xfId="23" builtinId="22" customBuiltin="1"/>
    <cellStyle name="检查单元格" xfId="25" builtinId="23" customBuiltin="1"/>
    <cellStyle name="解释性文本" xfId="28" builtinId="53" customBuiltin="1"/>
    <cellStyle name="警告文本" xfId="26" builtinId="11" customBuiltin="1"/>
    <cellStyle name="链接单元格" xfId="24" builtinId="24" customBuiltin="1"/>
    <cellStyle name="千位分隔" xfId="4" builtinId="3" customBuiltin="1"/>
    <cellStyle name="千位分隔[0]" xfId="14" builtinId="6" customBuiltin="1"/>
    <cellStyle name="任务" xfId="12" xr:uid="{6391D789-272B-4DD2-9BF3-2CDCF610FA41}"/>
    <cellStyle name="日期" xfId="10" xr:uid="{229918B6-DD13-4F5A-97B9-305F7E002AA3}"/>
    <cellStyle name="适中" xfId="20" builtinId="28" customBuiltin="1"/>
    <cellStyle name="输出" xfId="22" builtinId="21" customBuiltin="1"/>
    <cellStyle name="输入" xfId="21" builtinId="20" customBuiltin="1"/>
    <cellStyle name="项目开始" xfId="9" xr:uid="{8EB8A09A-C31C-40A3-B2C1-9449520178B8}"/>
    <cellStyle name="姓名" xfId="11" xr:uid="{B2D3C1EE-6B41-4801-AAFC-C2274E49E503}"/>
    <cellStyle name="已访问的超链接" xfId="13" builtinId="9" customBuiltin="1"/>
    <cellStyle name="着色 1" xfId="30" builtinId="29" customBuiltin="1"/>
    <cellStyle name="着色 2" xfId="34" builtinId="33" customBuiltin="1"/>
    <cellStyle name="着色 3" xfId="38" builtinId="37" customBuiltin="1"/>
    <cellStyle name="着色 4" xfId="42" builtinId="41" customBuiltin="1"/>
    <cellStyle name="着色 5" xfId="46" builtinId="45" customBuiltin="1"/>
    <cellStyle name="着色 6" xfId="50" builtinId="49" customBuiltin="1"/>
    <cellStyle name="注释" xfId="27" builtinId="10" customBuiltin="1"/>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待办事项列表"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图片 1" descr="Vertex42 徽标">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35"/>
  <cols>
    <col min="1" max="1" width="2.54296875" style="15" customWidth="1"/>
    <col min="2" max="2" width="19.7265625" customWidth="1"/>
    <col min="3" max="3" width="30.54296875" customWidth="1"/>
    <col min="4" max="4" width="10.54296875" customWidth="1"/>
    <col min="5" max="5" width="10.26953125" style="3" customWidth="1"/>
    <col min="6" max="6" width="10.26953125" customWidth="1"/>
    <col min="7" max="7" width="2.54296875" customWidth="1"/>
    <col min="8" max="8" width="6" hidden="1" customWidth="1"/>
    <col min="9" max="64" width="2.453125" customWidth="1"/>
    <col min="66" max="68" width="7.26953125"/>
    <col min="69" max="70" width="8.453125"/>
  </cols>
  <sheetData>
    <row r="1" spans="1:64" ht="30" customHeight="1" x14ac:dyDescent="0.7">
      <c r="A1" s="16" t="s">
        <v>0</v>
      </c>
      <c r="B1" s="18" t="s">
        <v>14</v>
      </c>
      <c r="C1" s="36"/>
      <c r="D1" s="37"/>
      <c r="E1" s="38"/>
      <c r="F1" s="39"/>
      <c r="H1" s="37"/>
      <c r="I1" s="40" t="s">
        <v>36</v>
      </c>
    </row>
    <row r="2" spans="1:64" ht="30" customHeight="1" x14ac:dyDescent="0.4">
      <c r="A2" s="15" t="s">
        <v>1</v>
      </c>
      <c r="B2" s="19" t="s">
        <v>15</v>
      </c>
      <c r="I2" s="41" t="s">
        <v>37</v>
      </c>
    </row>
    <row r="3" spans="1:64" ht="30" customHeight="1" x14ac:dyDescent="0.35">
      <c r="A3" s="15" t="s">
        <v>2</v>
      </c>
      <c r="B3" s="20" t="s">
        <v>16</v>
      </c>
      <c r="C3" s="91" t="s">
        <v>28</v>
      </c>
      <c r="D3" s="92"/>
      <c r="E3" s="96">
        <f ca="1">TODAY()</f>
        <v>44608</v>
      </c>
      <c r="F3" s="96"/>
    </row>
    <row r="4" spans="1:64" ht="30" customHeight="1" x14ac:dyDescent="0.35">
      <c r="A4" s="16" t="s">
        <v>3</v>
      </c>
      <c r="C4" s="91" t="s">
        <v>29</v>
      </c>
      <c r="D4" s="92"/>
      <c r="E4" s="5">
        <v>1</v>
      </c>
      <c r="I4" s="93">
        <f ca="1">I5</f>
        <v>44606</v>
      </c>
      <c r="J4" s="94"/>
      <c r="K4" s="94"/>
      <c r="L4" s="94"/>
      <c r="M4" s="94"/>
      <c r="N4" s="94"/>
      <c r="O4" s="95"/>
      <c r="P4" s="93">
        <f ca="1">P5</f>
        <v>44613</v>
      </c>
      <c r="Q4" s="94"/>
      <c r="R4" s="94"/>
      <c r="S4" s="94"/>
      <c r="T4" s="94"/>
      <c r="U4" s="94"/>
      <c r="V4" s="95"/>
      <c r="W4" s="93">
        <f ca="1">W5</f>
        <v>44620</v>
      </c>
      <c r="X4" s="94"/>
      <c r="Y4" s="94"/>
      <c r="Z4" s="94"/>
      <c r="AA4" s="94"/>
      <c r="AB4" s="94"/>
      <c r="AC4" s="95"/>
      <c r="AD4" s="93">
        <f ca="1">AD5</f>
        <v>44627</v>
      </c>
      <c r="AE4" s="94"/>
      <c r="AF4" s="94"/>
      <c r="AG4" s="94"/>
      <c r="AH4" s="94"/>
      <c r="AI4" s="94"/>
      <c r="AJ4" s="95"/>
      <c r="AK4" s="93">
        <f ca="1">AK5</f>
        <v>44634</v>
      </c>
      <c r="AL4" s="94"/>
      <c r="AM4" s="94"/>
      <c r="AN4" s="94"/>
      <c r="AO4" s="94"/>
      <c r="AP4" s="94"/>
      <c r="AQ4" s="95"/>
      <c r="AR4" s="93">
        <f ca="1">AR5</f>
        <v>44641</v>
      </c>
      <c r="AS4" s="94"/>
      <c r="AT4" s="94"/>
      <c r="AU4" s="94"/>
      <c r="AV4" s="94"/>
      <c r="AW4" s="94"/>
      <c r="AX4" s="95"/>
      <c r="AY4" s="93">
        <f ca="1">AY5</f>
        <v>44648</v>
      </c>
      <c r="AZ4" s="94"/>
      <c r="BA4" s="94"/>
      <c r="BB4" s="94"/>
      <c r="BC4" s="94"/>
      <c r="BD4" s="94"/>
      <c r="BE4" s="95"/>
      <c r="BF4" s="93">
        <f ca="1">BF5</f>
        <v>44655</v>
      </c>
      <c r="BG4" s="94"/>
      <c r="BH4" s="94"/>
      <c r="BI4" s="94"/>
      <c r="BJ4" s="94"/>
      <c r="BK4" s="94"/>
      <c r="BL4" s="95"/>
    </row>
    <row r="5" spans="1:64" ht="15" customHeight="1" x14ac:dyDescent="0.35">
      <c r="A5" s="16" t="s">
        <v>4</v>
      </c>
      <c r="B5" s="35"/>
      <c r="C5" s="35"/>
      <c r="D5" s="35"/>
      <c r="E5" s="35"/>
      <c r="F5" s="35"/>
      <c r="G5" s="35"/>
      <c r="I5" s="76">
        <f ca="1">项目开始-WEEKDAY(项目开始,1)+2+7*(显示周数-1)</f>
        <v>44606</v>
      </c>
      <c r="J5" s="77">
        <f ca="1">I5+1</f>
        <v>44607</v>
      </c>
      <c r="K5" s="77">
        <f t="shared" ref="K5:AX5" ca="1" si="0">J5+1</f>
        <v>44608</v>
      </c>
      <c r="L5" s="77">
        <f t="shared" ca="1" si="0"/>
        <v>44609</v>
      </c>
      <c r="M5" s="77">
        <f t="shared" ca="1" si="0"/>
        <v>44610</v>
      </c>
      <c r="N5" s="77">
        <f t="shared" ca="1" si="0"/>
        <v>44611</v>
      </c>
      <c r="O5" s="78">
        <f t="shared" ca="1" si="0"/>
        <v>44612</v>
      </c>
      <c r="P5" s="76">
        <f ca="1">O5+1</f>
        <v>44613</v>
      </c>
      <c r="Q5" s="77">
        <f ca="1">P5+1</f>
        <v>44614</v>
      </c>
      <c r="R5" s="77">
        <f t="shared" ca="1" si="0"/>
        <v>44615</v>
      </c>
      <c r="S5" s="77">
        <f t="shared" ca="1" si="0"/>
        <v>44616</v>
      </c>
      <c r="T5" s="77">
        <f t="shared" ca="1" si="0"/>
        <v>44617</v>
      </c>
      <c r="U5" s="77">
        <f t="shared" ca="1" si="0"/>
        <v>44618</v>
      </c>
      <c r="V5" s="78">
        <f t="shared" ca="1" si="0"/>
        <v>44619</v>
      </c>
      <c r="W5" s="76">
        <f ca="1">V5+1</f>
        <v>44620</v>
      </c>
      <c r="X5" s="77">
        <f ca="1">W5+1</f>
        <v>44621</v>
      </c>
      <c r="Y5" s="77">
        <f t="shared" ca="1" si="0"/>
        <v>44622</v>
      </c>
      <c r="Z5" s="77">
        <f t="shared" ca="1" si="0"/>
        <v>44623</v>
      </c>
      <c r="AA5" s="77">
        <f t="shared" ca="1" si="0"/>
        <v>44624</v>
      </c>
      <c r="AB5" s="77">
        <f t="shared" ca="1" si="0"/>
        <v>44625</v>
      </c>
      <c r="AC5" s="78">
        <f t="shared" ca="1" si="0"/>
        <v>44626</v>
      </c>
      <c r="AD5" s="76">
        <f ca="1">AC5+1</f>
        <v>44627</v>
      </c>
      <c r="AE5" s="77">
        <f ca="1">AD5+1</f>
        <v>44628</v>
      </c>
      <c r="AF5" s="77">
        <f t="shared" ca="1" si="0"/>
        <v>44629</v>
      </c>
      <c r="AG5" s="77">
        <f t="shared" ca="1" si="0"/>
        <v>44630</v>
      </c>
      <c r="AH5" s="77">
        <f t="shared" ca="1" si="0"/>
        <v>44631</v>
      </c>
      <c r="AI5" s="77">
        <f t="shared" ca="1" si="0"/>
        <v>44632</v>
      </c>
      <c r="AJ5" s="78">
        <f t="shared" ca="1" si="0"/>
        <v>44633</v>
      </c>
      <c r="AK5" s="76">
        <f ca="1">AJ5+1</f>
        <v>44634</v>
      </c>
      <c r="AL5" s="77">
        <f ca="1">AK5+1</f>
        <v>44635</v>
      </c>
      <c r="AM5" s="77">
        <f t="shared" ca="1" si="0"/>
        <v>44636</v>
      </c>
      <c r="AN5" s="77">
        <f t="shared" ca="1" si="0"/>
        <v>44637</v>
      </c>
      <c r="AO5" s="77">
        <f t="shared" ca="1" si="0"/>
        <v>44638</v>
      </c>
      <c r="AP5" s="77">
        <f t="shared" ca="1" si="0"/>
        <v>44639</v>
      </c>
      <c r="AQ5" s="78">
        <f t="shared" ca="1" si="0"/>
        <v>44640</v>
      </c>
      <c r="AR5" s="76">
        <f ca="1">AQ5+1</f>
        <v>44641</v>
      </c>
      <c r="AS5" s="77">
        <f ca="1">AR5+1</f>
        <v>44642</v>
      </c>
      <c r="AT5" s="77">
        <f t="shared" ca="1" si="0"/>
        <v>44643</v>
      </c>
      <c r="AU5" s="77">
        <f t="shared" ca="1" si="0"/>
        <v>44644</v>
      </c>
      <c r="AV5" s="77">
        <f t="shared" ca="1" si="0"/>
        <v>44645</v>
      </c>
      <c r="AW5" s="77">
        <f t="shared" ca="1" si="0"/>
        <v>44646</v>
      </c>
      <c r="AX5" s="78">
        <f t="shared" ca="1" si="0"/>
        <v>44647</v>
      </c>
      <c r="AY5" s="76">
        <f ca="1">AX5+1</f>
        <v>44648</v>
      </c>
      <c r="AZ5" s="77">
        <f ca="1">AY5+1</f>
        <v>44649</v>
      </c>
      <c r="BA5" s="77">
        <f t="shared" ref="BA5:BE5" ca="1" si="1">AZ5+1</f>
        <v>44650</v>
      </c>
      <c r="BB5" s="77">
        <f t="shared" ca="1" si="1"/>
        <v>44651</v>
      </c>
      <c r="BC5" s="77">
        <f t="shared" ca="1" si="1"/>
        <v>44652</v>
      </c>
      <c r="BD5" s="77">
        <f t="shared" ca="1" si="1"/>
        <v>44653</v>
      </c>
      <c r="BE5" s="78">
        <f t="shared" ca="1" si="1"/>
        <v>44654</v>
      </c>
      <c r="BF5" s="76">
        <f ca="1">BE5+1</f>
        <v>44655</v>
      </c>
      <c r="BG5" s="77">
        <f ca="1">BF5+1</f>
        <v>44656</v>
      </c>
      <c r="BH5" s="77">
        <f t="shared" ref="BH5:BL5" ca="1" si="2">BG5+1</f>
        <v>44657</v>
      </c>
      <c r="BI5" s="77">
        <f t="shared" ca="1" si="2"/>
        <v>44658</v>
      </c>
      <c r="BJ5" s="77">
        <f t="shared" ca="1" si="2"/>
        <v>44659</v>
      </c>
      <c r="BK5" s="77">
        <f t="shared" ca="1" si="2"/>
        <v>44660</v>
      </c>
      <c r="BL5" s="78">
        <f t="shared" ca="1" si="2"/>
        <v>44661</v>
      </c>
    </row>
    <row r="6" spans="1:64" ht="30" customHeight="1" thickBot="1" x14ac:dyDescent="0.4">
      <c r="A6" s="16" t="s">
        <v>5</v>
      </c>
      <c r="B6" s="42" t="s">
        <v>17</v>
      </c>
      <c r="C6" s="43" t="s">
        <v>51</v>
      </c>
      <c r="D6" s="43" t="s">
        <v>31</v>
      </c>
      <c r="E6" s="43" t="s">
        <v>32</v>
      </c>
      <c r="F6" s="43" t="s">
        <v>34</v>
      </c>
      <c r="G6" s="43"/>
      <c r="H6" s="43" t="s">
        <v>35</v>
      </c>
      <c r="I6" s="44" t="str">
        <f ca="1">RIGHT(TEXT(I5,"aaa"),1)</f>
        <v>一</v>
      </c>
      <c r="J6" s="44" t="str">
        <f t="shared" ref="J6:BL6" ca="1" si="3">RIGHT(TEXT(J5,"aaa"),1)</f>
        <v>二</v>
      </c>
      <c r="K6" s="44" t="str">
        <f t="shared" ca="1" si="3"/>
        <v>三</v>
      </c>
      <c r="L6" s="44" t="str">
        <f t="shared" ca="1" si="3"/>
        <v>四</v>
      </c>
      <c r="M6" s="44" t="str">
        <f t="shared" ca="1" si="3"/>
        <v>五</v>
      </c>
      <c r="N6" s="44" t="str">
        <f t="shared" ca="1" si="3"/>
        <v>六</v>
      </c>
      <c r="O6" s="44" t="str">
        <f t="shared" ca="1" si="3"/>
        <v>日</v>
      </c>
      <c r="P6" s="44" t="str">
        <f t="shared" ca="1" si="3"/>
        <v>一</v>
      </c>
      <c r="Q6" s="44" t="str">
        <f t="shared" ca="1" si="3"/>
        <v>二</v>
      </c>
      <c r="R6" s="44" t="str">
        <f t="shared" ca="1" si="3"/>
        <v>三</v>
      </c>
      <c r="S6" s="44" t="str">
        <f t="shared" ca="1" si="3"/>
        <v>四</v>
      </c>
      <c r="T6" s="44" t="str">
        <f t="shared" ca="1" si="3"/>
        <v>五</v>
      </c>
      <c r="U6" s="44" t="str">
        <f t="shared" ca="1" si="3"/>
        <v>六</v>
      </c>
      <c r="V6" s="44" t="str">
        <f t="shared" ca="1" si="3"/>
        <v>日</v>
      </c>
      <c r="W6" s="44" t="str">
        <f t="shared" ca="1" si="3"/>
        <v>一</v>
      </c>
      <c r="X6" s="44" t="str">
        <f t="shared" ca="1" si="3"/>
        <v>二</v>
      </c>
      <c r="Y6" s="44" t="str">
        <f t="shared" ca="1" si="3"/>
        <v>三</v>
      </c>
      <c r="Z6" s="44" t="str">
        <f t="shared" ca="1" si="3"/>
        <v>四</v>
      </c>
      <c r="AA6" s="44" t="str">
        <f t="shared" ca="1" si="3"/>
        <v>五</v>
      </c>
      <c r="AB6" s="44" t="str">
        <f t="shared" ca="1" si="3"/>
        <v>六</v>
      </c>
      <c r="AC6" s="44" t="str">
        <f t="shared" ca="1" si="3"/>
        <v>日</v>
      </c>
      <c r="AD6" s="44" t="str">
        <f t="shared" ca="1" si="3"/>
        <v>一</v>
      </c>
      <c r="AE6" s="44" t="str">
        <f t="shared" ca="1" si="3"/>
        <v>二</v>
      </c>
      <c r="AF6" s="44" t="str">
        <f t="shared" ca="1" si="3"/>
        <v>三</v>
      </c>
      <c r="AG6" s="44" t="str">
        <f t="shared" ca="1" si="3"/>
        <v>四</v>
      </c>
      <c r="AH6" s="44" t="str">
        <f t="shared" ca="1" si="3"/>
        <v>五</v>
      </c>
      <c r="AI6" s="44" t="str">
        <f t="shared" ca="1" si="3"/>
        <v>六</v>
      </c>
      <c r="AJ6" s="44" t="str">
        <f t="shared" ca="1" si="3"/>
        <v>日</v>
      </c>
      <c r="AK6" s="44" t="str">
        <f t="shared" ca="1" si="3"/>
        <v>一</v>
      </c>
      <c r="AL6" s="44" t="str">
        <f t="shared" ca="1" si="3"/>
        <v>二</v>
      </c>
      <c r="AM6" s="44" t="str">
        <f t="shared" ca="1" si="3"/>
        <v>三</v>
      </c>
      <c r="AN6" s="44" t="str">
        <f t="shared" ca="1" si="3"/>
        <v>四</v>
      </c>
      <c r="AO6" s="44" t="str">
        <f t="shared" ca="1" si="3"/>
        <v>五</v>
      </c>
      <c r="AP6" s="44" t="str">
        <f t="shared" ca="1" si="3"/>
        <v>六</v>
      </c>
      <c r="AQ6" s="44" t="str">
        <f t="shared" ca="1" si="3"/>
        <v>日</v>
      </c>
      <c r="AR6" s="44" t="str">
        <f t="shared" ca="1" si="3"/>
        <v>一</v>
      </c>
      <c r="AS6" s="44" t="str">
        <f t="shared" ca="1" si="3"/>
        <v>二</v>
      </c>
      <c r="AT6" s="44" t="str">
        <f t="shared" ca="1" si="3"/>
        <v>三</v>
      </c>
      <c r="AU6" s="44" t="str">
        <f t="shared" ca="1" si="3"/>
        <v>四</v>
      </c>
      <c r="AV6" s="44" t="str">
        <f t="shared" ca="1" si="3"/>
        <v>五</v>
      </c>
      <c r="AW6" s="44" t="str">
        <f t="shared" ca="1" si="3"/>
        <v>六</v>
      </c>
      <c r="AX6" s="44" t="str">
        <f t="shared" ca="1" si="3"/>
        <v>日</v>
      </c>
      <c r="AY6" s="44" t="str">
        <f t="shared" ca="1" si="3"/>
        <v>一</v>
      </c>
      <c r="AZ6" s="44" t="str">
        <f t="shared" ca="1" si="3"/>
        <v>二</v>
      </c>
      <c r="BA6" s="44" t="str">
        <f t="shared" ca="1" si="3"/>
        <v>三</v>
      </c>
      <c r="BB6" s="44" t="str">
        <f t="shared" ca="1" si="3"/>
        <v>四</v>
      </c>
      <c r="BC6" s="44" t="str">
        <f t="shared" ca="1" si="3"/>
        <v>五</v>
      </c>
      <c r="BD6" s="44" t="str">
        <f t="shared" ca="1" si="3"/>
        <v>六</v>
      </c>
      <c r="BE6" s="44" t="str">
        <f t="shared" ca="1" si="3"/>
        <v>日</v>
      </c>
      <c r="BF6" s="44" t="str">
        <f t="shared" ca="1" si="3"/>
        <v>一</v>
      </c>
      <c r="BG6" s="44" t="str">
        <f t="shared" ca="1" si="3"/>
        <v>二</v>
      </c>
      <c r="BH6" s="44" t="str">
        <f t="shared" ca="1" si="3"/>
        <v>三</v>
      </c>
      <c r="BI6" s="44" t="str">
        <f t="shared" ca="1" si="3"/>
        <v>四</v>
      </c>
      <c r="BJ6" s="44" t="str">
        <f t="shared" ca="1" si="3"/>
        <v>五</v>
      </c>
      <c r="BK6" s="44" t="str">
        <f t="shared" ca="1" si="3"/>
        <v>六</v>
      </c>
      <c r="BL6" s="44" t="str">
        <f t="shared" ca="1" si="3"/>
        <v>日</v>
      </c>
    </row>
    <row r="7" spans="1:64" ht="30" hidden="1" customHeight="1" thickBot="1" x14ac:dyDescent="0.4">
      <c r="A7" s="15" t="s">
        <v>6</v>
      </c>
      <c r="C7" s="17"/>
      <c r="E7"/>
      <c r="H7" t="str">
        <f>IF(OR(ISBLANK(task_start),ISBLANK(task_end)),"",task_end-task_start+1)</f>
        <v/>
      </c>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row>
    <row r="8" spans="1:64" s="2" customFormat="1" ht="30" customHeight="1" thickBot="1" x14ac:dyDescent="0.4">
      <c r="A8" s="16" t="s">
        <v>7</v>
      </c>
      <c r="B8" s="45" t="s">
        <v>18</v>
      </c>
      <c r="C8" s="21"/>
      <c r="D8" s="46"/>
      <c r="E8" s="79"/>
      <c r="F8" s="80"/>
      <c r="G8" s="47"/>
      <c r="H8" s="47" t="str">
        <f t="shared" ref="H8:H33" si="4">IF(OR(ISBLANK(task_start),ISBLANK(task_end)),"",task_end-task_start+1)</f>
        <v/>
      </c>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row>
    <row r="9" spans="1:64" s="2" customFormat="1" ht="30" customHeight="1" thickBot="1" x14ac:dyDescent="0.4">
      <c r="A9" s="16" t="s">
        <v>8</v>
      </c>
      <c r="B9" s="30" t="s">
        <v>19</v>
      </c>
      <c r="C9" s="22" t="s">
        <v>30</v>
      </c>
      <c r="D9" s="48">
        <v>0.5</v>
      </c>
      <c r="E9" s="81">
        <f ca="1">项目开始</f>
        <v>44608</v>
      </c>
      <c r="F9" s="81">
        <f ca="1">E9+3</f>
        <v>44611</v>
      </c>
      <c r="G9" s="47"/>
      <c r="H9" s="47">
        <f t="shared" ca="1" si="4"/>
        <v>4</v>
      </c>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row>
    <row r="10" spans="1:64" s="2" customFormat="1" ht="30" customHeight="1" thickBot="1" x14ac:dyDescent="0.4">
      <c r="A10" s="16" t="s">
        <v>9</v>
      </c>
      <c r="B10" s="30" t="s">
        <v>20</v>
      </c>
      <c r="C10" s="22"/>
      <c r="D10" s="48">
        <v>0.6</v>
      </c>
      <c r="E10" s="81">
        <f ca="1">F9</f>
        <v>44611</v>
      </c>
      <c r="F10" s="81">
        <f ca="1">E10+2</f>
        <v>44613</v>
      </c>
      <c r="G10" s="47"/>
      <c r="H10" s="47">
        <f t="shared" ca="1" si="4"/>
        <v>3</v>
      </c>
      <c r="I10" s="6"/>
      <c r="J10" s="6"/>
      <c r="K10" s="6"/>
      <c r="L10" s="6"/>
      <c r="M10" s="6"/>
      <c r="N10" s="6"/>
      <c r="O10" s="6"/>
      <c r="P10" s="6"/>
      <c r="Q10" s="6"/>
      <c r="R10" s="6"/>
      <c r="S10" s="6"/>
      <c r="T10" s="6"/>
      <c r="U10" s="7"/>
      <c r="V10" s="7"/>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row>
    <row r="11" spans="1:64" s="2" customFormat="1" ht="30" customHeight="1" thickBot="1" x14ac:dyDescent="0.4">
      <c r="A11" s="15"/>
      <c r="B11" s="30" t="s">
        <v>21</v>
      </c>
      <c r="C11" s="22"/>
      <c r="D11" s="48">
        <v>0.5</v>
      </c>
      <c r="E11" s="81">
        <f ca="1">F10</f>
        <v>44613</v>
      </c>
      <c r="F11" s="81">
        <f ca="1">E11+4</f>
        <v>44617</v>
      </c>
      <c r="G11" s="47"/>
      <c r="H11" s="47">
        <f t="shared" ca="1" si="4"/>
        <v>5</v>
      </c>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row>
    <row r="12" spans="1:64" s="2" customFormat="1" ht="30" customHeight="1" thickBot="1" x14ac:dyDescent="0.4">
      <c r="A12" s="15"/>
      <c r="B12" s="30" t="s">
        <v>22</v>
      </c>
      <c r="C12" s="22"/>
      <c r="D12" s="48">
        <v>0.25</v>
      </c>
      <c r="E12" s="81">
        <f ca="1">F11</f>
        <v>44617</v>
      </c>
      <c r="F12" s="81">
        <f ca="1">E12+5</f>
        <v>44622</v>
      </c>
      <c r="G12" s="47"/>
      <c r="H12" s="47">
        <f t="shared" ca="1" si="4"/>
        <v>6</v>
      </c>
      <c r="I12" s="6"/>
      <c r="J12" s="6"/>
      <c r="K12" s="6"/>
      <c r="L12" s="6"/>
      <c r="M12" s="6"/>
      <c r="N12" s="6"/>
      <c r="O12" s="6"/>
      <c r="P12" s="6"/>
      <c r="Q12" s="6"/>
      <c r="R12" s="6"/>
      <c r="S12" s="6"/>
      <c r="T12" s="6"/>
      <c r="U12" s="6"/>
      <c r="V12" s="6"/>
      <c r="W12" s="6"/>
      <c r="X12" s="6"/>
      <c r="Y12" s="7"/>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row>
    <row r="13" spans="1:64" s="2" customFormat="1" ht="30" customHeight="1" thickBot="1" x14ac:dyDescent="0.4">
      <c r="A13" s="15"/>
      <c r="B13" s="30" t="s">
        <v>23</v>
      </c>
      <c r="C13" s="22"/>
      <c r="D13" s="48"/>
      <c r="E13" s="81">
        <f ca="1">E10+1</f>
        <v>44612</v>
      </c>
      <c r="F13" s="81">
        <f ca="1">E13+2</f>
        <v>44614</v>
      </c>
      <c r="G13" s="47"/>
      <c r="H13" s="47">
        <f t="shared" ca="1" si="4"/>
        <v>3</v>
      </c>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row>
    <row r="14" spans="1:64" s="2" customFormat="1" ht="30" customHeight="1" thickBot="1" x14ac:dyDescent="0.4">
      <c r="A14" s="16" t="s">
        <v>10</v>
      </c>
      <c r="B14" s="49" t="s">
        <v>24</v>
      </c>
      <c r="C14" s="23"/>
      <c r="D14" s="50"/>
      <c r="E14" s="82"/>
      <c r="F14" s="83"/>
      <c r="G14" s="47"/>
      <c r="H14" s="47" t="str">
        <f t="shared" si="4"/>
        <v/>
      </c>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row>
    <row r="15" spans="1:64" s="2" customFormat="1" ht="30" customHeight="1" thickBot="1" x14ac:dyDescent="0.4">
      <c r="A15" s="16"/>
      <c r="B15" s="31" t="s">
        <v>19</v>
      </c>
      <c r="C15" s="24"/>
      <c r="D15" s="51">
        <v>0.5</v>
      </c>
      <c r="E15" s="84">
        <f ca="1">E13+1</f>
        <v>44613</v>
      </c>
      <c r="F15" s="84">
        <f ca="1">E15+4</f>
        <v>44617</v>
      </c>
      <c r="G15" s="47"/>
      <c r="H15" s="47">
        <f t="shared" ca="1" si="4"/>
        <v>5</v>
      </c>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row>
    <row r="16" spans="1:64" s="2" customFormat="1" ht="30" customHeight="1" thickBot="1" x14ac:dyDescent="0.4">
      <c r="A16" s="15"/>
      <c r="B16" s="31" t="s">
        <v>20</v>
      </c>
      <c r="C16" s="24"/>
      <c r="D16" s="51">
        <v>0.5</v>
      </c>
      <c r="E16" s="84">
        <f ca="1">E15+2</f>
        <v>44615</v>
      </c>
      <c r="F16" s="84">
        <f ca="1">E16+5</f>
        <v>44620</v>
      </c>
      <c r="G16" s="47"/>
      <c r="H16" s="47">
        <f t="shared" ca="1" si="4"/>
        <v>6</v>
      </c>
      <c r="I16" s="6"/>
      <c r="J16" s="6"/>
      <c r="K16" s="6"/>
      <c r="L16" s="6"/>
      <c r="M16" s="6"/>
      <c r="N16" s="6"/>
      <c r="O16" s="6"/>
      <c r="P16" s="6"/>
      <c r="Q16" s="6"/>
      <c r="R16" s="6"/>
      <c r="S16" s="6"/>
      <c r="T16" s="6"/>
      <c r="U16" s="7"/>
      <c r="V16" s="7"/>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row>
    <row r="17" spans="1:64" s="2" customFormat="1" ht="30" customHeight="1" thickBot="1" x14ac:dyDescent="0.4">
      <c r="A17" s="15"/>
      <c r="B17" s="31" t="s">
        <v>21</v>
      </c>
      <c r="C17" s="24"/>
      <c r="D17" s="51"/>
      <c r="E17" s="84">
        <f ca="1">F16</f>
        <v>44620</v>
      </c>
      <c r="F17" s="84">
        <f ca="1">E17+3</f>
        <v>44623</v>
      </c>
      <c r="G17" s="47"/>
      <c r="H17" s="47">
        <f t="shared" ca="1" si="4"/>
        <v>4</v>
      </c>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row>
    <row r="18" spans="1:64" s="2" customFormat="1" ht="30" customHeight="1" thickBot="1" x14ac:dyDescent="0.4">
      <c r="A18" s="15"/>
      <c r="B18" s="31" t="s">
        <v>22</v>
      </c>
      <c r="C18" s="24"/>
      <c r="D18" s="51"/>
      <c r="E18" s="84">
        <f ca="1">E17</f>
        <v>44620</v>
      </c>
      <c r="F18" s="84">
        <f ca="1">E18+2</f>
        <v>44622</v>
      </c>
      <c r="G18" s="47"/>
      <c r="H18" s="47">
        <f t="shared" ca="1" si="4"/>
        <v>3</v>
      </c>
      <c r="I18" s="6"/>
      <c r="J18" s="6"/>
      <c r="K18" s="6"/>
      <c r="L18" s="6"/>
      <c r="M18" s="6"/>
      <c r="N18" s="6"/>
      <c r="O18" s="6"/>
      <c r="P18" s="6"/>
      <c r="Q18" s="6"/>
      <c r="R18" s="6"/>
      <c r="S18" s="6"/>
      <c r="T18" s="6"/>
      <c r="U18" s="6"/>
      <c r="V18" s="6"/>
      <c r="W18" s="6"/>
      <c r="X18" s="6"/>
      <c r="Y18" s="7"/>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row>
    <row r="19" spans="1:64" s="2" customFormat="1" ht="30" customHeight="1" thickBot="1" x14ac:dyDescent="0.4">
      <c r="A19" s="15"/>
      <c r="B19" s="31" t="s">
        <v>23</v>
      </c>
      <c r="C19" s="24"/>
      <c r="D19" s="51"/>
      <c r="E19" s="84">
        <f ca="1">E18</f>
        <v>44620</v>
      </c>
      <c r="F19" s="84">
        <f ca="1">E19+3</f>
        <v>44623</v>
      </c>
      <c r="G19" s="47"/>
      <c r="H19" s="47">
        <f t="shared" ca="1" si="4"/>
        <v>4</v>
      </c>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row>
    <row r="20" spans="1:64" s="2" customFormat="1" ht="30" customHeight="1" thickBot="1" x14ac:dyDescent="0.4">
      <c r="A20" s="15" t="s">
        <v>11</v>
      </c>
      <c r="B20" s="52" t="s">
        <v>25</v>
      </c>
      <c r="C20" s="25"/>
      <c r="D20" s="53"/>
      <c r="E20" s="85"/>
      <c r="F20" s="86"/>
      <c r="G20" s="47"/>
      <c r="H20" s="47" t="str">
        <f t="shared" si="4"/>
        <v/>
      </c>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row>
    <row r="21" spans="1:64" s="2" customFormat="1" ht="30" customHeight="1" thickBot="1" x14ac:dyDescent="0.4">
      <c r="A21" s="15"/>
      <c r="B21" s="32" t="s">
        <v>19</v>
      </c>
      <c r="C21" s="26"/>
      <c r="D21" s="54"/>
      <c r="E21" s="87">
        <f ca="1">E9+15</f>
        <v>44623</v>
      </c>
      <c r="F21" s="87">
        <f ca="1">E21+5</f>
        <v>44628</v>
      </c>
      <c r="G21" s="47"/>
      <c r="H21" s="47">
        <f t="shared" ca="1" si="4"/>
        <v>6</v>
      </c>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row>
    <row r="22" spans="1:64" s="2" customFormat="1" ht="30" customHeight="1" thickBot="1" x14ac:dyDescent="0.4">
      <c r="A22" s="15"/>
      <c r="B22" s="32" t="s">
        <v>20</v>
      </c>
      <c r="C22" s="26"/>
      <c r="D22" s="54"/>
      <c r="E22" s="87">
        <f ca="1">F21+1</f>
        <v>44629</v>
      </c>
      <c r="F22" s="87">
        <f ca="1">E22+4</f>
        <v>44633</v>
      </c>
      <c r="G22" s="47"/>
      <c r="H22" s="47">
        <f t="shared" ca="1" si="4"/>
        <v>5</v>
      </c>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row>
    <row r="23" spans="1:64" s="2" customFormat="1" ht="30" customHeight="1" thickBot="1" x14ac:dyDescent="0.4">
      <c r="A23" s="15"/>
      <c r="B23" s="32" t="s">
        <v>21</v>
      </c>
      <c r="C23" s="26"/>
      <c r="D23" s="54"/>
      <c r="E23" s="87">
        <f ca="1">E22+5</f>
        <v>44634</v>
      </c>
      <c r="F23" s="87">
        <f ca="1">E23+5</f>
        <v>44639</v>
      </c>
      <c r="G23" s="47"/>
      <c r="H23" s="47">
        <f t="shared" ca="1" si="4"/>
        <v>6</v>
      </c>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row>
    <row r="24" spans="1:64" s="2" customFormat="1" ht="30" customHeight="1" thickBot="1" x14ac:dyDescent="0.4">
      <c r="A24" s="15"/>
      <c r="B24" s="32" t="s">
        <v>22</v>
      </c>
      <c r="C24" s="26"/>
      <c r="D24" s="54"/>
      <c r="E24" s="87">
        <f ca="1">F23+1</f>
        <v>44640</v>
      </c>
      <c r="F24" s="87">
        <f ca="1">E24+4</f>
        <v>44644</v>
      </c>
      <c r="G24" s="47"/>
      <c r="H24" s="47">
        <f t="shared" ca="1" si="4"/>
        <v>5</v>
      </c>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row>
    <row r="25" spans="1:64" s="2" customFormat="1" ht="30" customHeight="1" thickBot="1" x14ac:dyDescent="0.4">
      <c r="A25" s="15"/>
      <c r="B25" s="32" t="s">
        <v>23</v>
      </c>
      <c r="C25" s="26"/>
      <c r="D25" s="54"/>
      <c r="E25" s="87">
        <f ca="1">E23</f>
        <v>44634</v>
      </c>
      <c r="F25" s="87">
        <f ca="1">E25+4</f>
        <v>44638</v>
      </c>
      <c r="G25" s="47"/>
      <c r="H25" s="47">
        <f t="shared" ca="1" si="4"/>
        <v>5</v>
      </c>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row>
    <row r="26" spans="1:64" s="2" customFormat="1" ht="30" customHeight="1" thickBot="1" x14ac:dyDescent="0.4">
      <c r="A26" s="15" t="s">
        <v>11</v>
      </c>
      <c r="B26" s="55" t="s">
        <v>26</v>
      </c>
      <c r="C26" s="27"/>
      <c r="D26" s="56"/>
      <c r="E26" s="88"/>
      <c r="F26" s="89"/>
      <c r="G26" s="47"/>
      <c r="H26" s="47" t="str">
        <f t="shared" si="4"/>
        <v/>
      </c>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row>
    <row r="27" spans="1:64" s="2" customFormat="1" ht="30" customHeight="1" thickBot="1" x14ac:dyDescent="0.4">
      <c r="A27" s="15"/>
      <c r="B27" s="33" t="s">
        <v>19</v>
      </c>
      <c r="C27" s="28"/>
      <c r="D27" s="57"/>
      <c r="E27" s="90" t="s">
        <v>33</v>
      </c>
      <c r="F27" s="90" t="s">
        <v>33</v>
      </c>
      <c r="G27" s="47"/>
      <c r="H27" s="47" t="e">
        <f t="shared" si="4"/>
        <v>#VALUE!</v>
      </c>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row>
    <row r="28" spans="1:64" s="2" customFormat="1" ht="30" customHeight="1" thickBot="1" x14ac:dyDescent="0.4">
      <c r="A28" s="15"/>
      <c r="B28" s="33" t="s">
        <v>20</v>
      </c>
      <c r="C28" s="28"/>
      <c r="D28" s="57"/>
      <c r="E28" s="90" t="s">
        <v>33</v>
      </c>
      <c r="F28" s="90" t="s">
        <v>33</v>
      </c>
      <c r="G28" s="47"/>
      <c r="H28" s="47" t="e">
        <f t="shared" si="4"/>
        <v>#VALUE!</v>
      </c>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row>
    <row r="29" spans="1:64" s="2" customFormat="1" ht="30" customHeight="1" thickBot="1" x14ac:dyDescent="0.4">
      <c r="A29" s="15"/>
      <c r="B29" s="33" t="s">
        <v>21</v>
      </c>
      <c r="C29" s="28"/>
      <c r="D29" s="57"/>
      <c r="E29" s="90" t="s">
        <v>33</v>
      </c>
      <c r="F29" s="90" t="s">
        <v>33</v>
      </c>
      <c r="G29" s="47"/>
      <c r="H29" s="47" t="e">
        <f t="shared" si="4"/>
        <v>#VALUE!</v>
      </c>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row>
    <row r="30" spans="1:64" s="2" customFormat="1" ht="30" customHeight="1" thickBot="1" x14ac:dyDescent="0.4">
      <c r="A30" s="15"/>
      <c r="B30" s="33" t="s">
        <v>22</v>
      </c>
      <c r="C30" s="28"/>
      <c r="D30" s="57"/>
      <c r="E30" s="90" t="s">
        <v>33</v>
      </c>
      <c r="F30" s="90" t="s">
        <v>33</v>
      </c>
      <c r="G30" s="47"/>
      <c r="H30" s="47" t="e">
        <f t="shared" si="4"/>
        <v>#VALUE!</v>
      </c>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row>
    <row r="31" spans="1:64" s="2" customFormat="1" ht="30" customHeight="1" thickBot="1" x14ac:dyDescent="0.4">
      <c r="A31" s="15"/>
      <c r="B31" s="33" t="s">
        <v>23</v>
      </c>
      <c r="C31" s="28"/>
      <c r="D31" s="57"/>
      <c r="E31" s="90" t="s">
        <v>33</v>
      </c>
      <c r="F31" s="90" t="s">
        <v>33</v>
      </c>
      <c r="G31" s="47"/>
      <c r="H31" s="47" t="e">
        <f t="shared" si="4"/>
        <v>#VALUE!</v>
      </c>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row>
    <row r="32" spans="1:64" s="2" customFormat="1" ht="30" customHeight="1" thickBot="1" x14ac:dyDescent="0.4">
      <c r="A32" s="15" t="s">
        <v>12</v>
      </c>
      <c r="B32" s="34"/>
      <c r="C32" s="29"/>
      <c r="D32" s="58"/>
      <c r="E32" s="59"/>
      <c r="F32" s="59"/>
      <c r="G32" s="47"/>
      <c r="H32" s="47" t="str">
        <f t="shared" si="4"/>
        <v/>
      </c>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row>
    <row r="33" spans="1:64" s="2" customFormat="1" ht="30" customHeight="1" thickBot="1" x14ac:dyDescent="0.4">
      <c r="A33" s="16" t="s">
        <v>13</v>
      </c>
      <c r="B33" s="60" t="s">
        <v>27</v>
      </c>
      <c r="C33" s="61"/>
      <c r="D33" s="62"/>
      <c r="E33" s="63"/>
      <c r="F33" s="64"/>
      <c r="G33" s="65"/>
      <c r="H33" s="65" t="str">
        <f t="shared" si="4"/>
        <v/>
      </c>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row>
    <row r="34" spans="1:64" ht="30" customHeight="1" x14ac:dyDescent="0.35">
      <c r="G34" s="4"/>
    </row>
    <row r="35" spans="1:64" ht="30" customHeight="1" x14ac:dyDescent="0.4">
      <c r="C35" s="66"/>
      <c r="F35" s="67"/>
    </row>
    <row r="36" spans="1:64" ht="30" customHeight="1" x14ac:dyDescent="0.35">
      <c r="C36" s="68"/>
    </row>
  </sheetData>
  <mergeCells count="11">
    <mergeCell ref="BF4:BL4"/>
    <mergeCell ref="E3:F3"/>
    <mergeCell ref="I4:O4"/>
    <mergeCell ref="P4:V4"/>
    <mergeCell ref="W4:AC4"/>
    <mergeCell ref="AD4:AJ4"/>
    <mergeCell ref="C3:D3"/>
    <mergeCell ref="C4:D4"/>
    <mergeCell ref="AK4:AQ4"/>
    <mergeCell ref="AR4:AX4"/>
    <mergeCell ref="AY4:BE4"/>
  </mergeCells>
  <phoneticPr fontId="37" type="noConversion"/>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显示周数" prompt="更改此数字将滚动甘特图视图。"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 defaultRowHeight="12" x14ac:dyDescent="0.15"/>
  <cols>
    <col min="1" max="1" width="87" style="9" customWidth="1"/>
    <col min="2" max="16384" width="9" style="1"/>
  </cols>
  <sheetData>
    <row r="1" spans="1:2" ht="46.5" customHeight="1" x14ac:dyDescent="0.35">
      <c r="A1" s="69"/>
      <c r="B1" s="37"/>
    </row>
    <row r="2" spans="1:2" s="10" customFormat="1" ht="17.399999999999999" x14ac:dyDescent="0.35">
      <c r="A2" s="70" t="s">
        <v>36</v>
      </c>
      <c r="B2" s="70"/>
    </row>
    <row r="3" spans="1:2" s="12" customFormat="1" ht="27" customHeight="1" x14ac:dyDescent="0.35">
      <c r="A3" s="71" t="s">
        <v>37</v>
      </c>
      <c r="B3" s="72"/>
    </row>
    <row r="4" spans="1:2" s="11" customFormat="1" ht="27.6" x14ac:dyDescent="0.55000000000000004">
      <c r="A4" s="73" t="s">
        <v>38</v>
      </c>
      <c r="B4" s="74"/>
    </row>
    <row r="5" spans="1:2" ht="49.2" customHeight="1" x14ac:dyDescent="0.35">
      <c r="A5" s="75" t="s">
        <v>39</v>
      </c>
      <c r="B5" s="37"/>
    </row>
    <row r="6" spans="1:2" ht="26.25" customHeight="1" x14ac:dyDescent="0.35">
      <c r="A6" s="73" t="s">
        <v>40</v>
      </c>
      <c r="B6" s="37"/>
    </row>
    <row r="7" spans="1:2" s="9" customFormat="1" ht="204.9" customHeight="1" x14ac:dyDescent="0.35">
      <c r="A7" s="14" t="s">
        <v>41</v>
      </c>
      <c r="B7" s="69"/>
    </row>
    <row r="8" spans="1:2" s="11" customFormat="1" ht="27.6" x14ac:dyDescent="0.55000000000000004">
      <c r="A8" s="73" t="s">
        <v>42</v>
      </c>
      <c r="B8" s="74"/>
    </row>
    <row r="9" spans="1:2" ht="34.200000000000003" customHeight="1" x14ac:dyDescent="0.35">
      <c r="A9" s="75" t="s">
        <v>43</v>
      </c>
      <c r="B9" s="37"/>
    </row>
    <row r="10" spans="1:2" s="9" customFormat="1" ht="27.9" customHeight="1" x14ac:dyDescent="0.35">
      <c r="A10" s="13" t="s">
        <v>44</v>
      </c>
      <c r="B10" s="69"/>
    </row>
    <row r="11" spans="1:2" s="11" customFormat="1" ht="27.6" x14ac:dyDescent="0.55000000000000004">
      <c r="A11" s="73" t="s">
        <v>45</v>
      </c>
      <c r="B11" s="74"/>
    </row>
    <row r="12" spans="1:2" ht="18.600000000000001" customHeight="1" x14ac:dyDescent="0.35">
      <c r="A12" s="75" t="s">
        <v>46</v>
      </c>
      <c r="B12" s="37"/>
    </row>
    <row r="13" spans="1:2" s="9" customFormat="1" ht="27.9" customHeight="1" x14ac:dyDescent="0.35">
      <c r="A13" s="13" t="s">
        <v>47</v>
      </c>
      <c r="B13" s="69"/>
    </row>
    <row r="14" spans="1:2" s="11" customFormat="1" ht="27.6" x14ac:dyDescent="0.55000000000000004">
      <c r="A14" s="73" t="s">
        <v>48</v>
      </c>
      <c r="B14" s="74"/>
    </row>
    <row r="15" spans="1:2" ht="49.2" customHeight="1" x14ac:dyDescent="0.35">
      <c r="A15" s="75" t="s">
        <v>49</v>
      </c>
      <c r="B15" s="37"/>
    </row>
    <row r="16" spans="1:2" ht="46.8" x14ac:dyDescent="0.35">
      <c r="A16" s="75" t="s">
        <v>50</v>
      </c>
      <c r="B16" s="37"/>
    </row>
  </sheetData>
  <phoneticPr fontId="37" type="noConversion"/>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drawing r:id="rId6"/>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2.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33.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ap:Properties xmlns:vt="http://schemas.openxmlformats.org/officeDocument/2006/docPropsVTypes" xmlns:ap="http://schemas.openxmlformats.org/officeDocument/2006/extended-properties">
  <ap:Template>TM16400962</ap:Template>
  <ap:DocSecurity>0</ap:DocSecurity>
  <ap:ScaleCrop>false</ap:ScaleCrop>
  <ap:HeadingPairs>
    <vt:vector baseType="variant" size="4">
      <vt:variant>
        <vt:lpstr>工作表</vt:lpstr>
      </vt:variant>
      <vt:variant>
        <vt:i4>2</vt:i4>
      </vt:variant>
      <vt:variant>
        <vt:lpstr>命名范围</vt:lpstr>
      </vt:variant>
      <vt:variant>
        <vt:i4>6</vt:i4>
      </vt:variant>
    </vt:vector>
  </ap:HeadingPairs>
  <ap:TitlesOfParts>
    <vt:vector baseType="lpstr" size="8">
      <vt:lpstr>项目日程安排</vt:lpstr>
      <vt:lpstr>关于</vt:lpstr>
      <vt:lpstr>项目日程安排!Print_Titles</vt:lpstr>
      <vt:lpstr>项目日程安排!task_end</vt:lpstr>
      <vt:lpstr>项目日程安排!task_progress</vt:lpstr>
      <vt:lpstr>项目日程安排!task_start</vt:lpstr>
      <vt:lpstr>显示周数</vt:lpstr>
      <vt:lpstr>项目开始</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2022-02-16T09:53:13Z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